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iujw\Desktop\"/>
    </mc:Choice>
  </mc:AlternateContent>
  <xr:revisionPtr revIDLastSave="0" documentId="13_ncr:1_{7174D144-5120-42B4-B701-326B7B5744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2" l="1"/>
  <c r="K2" i="2"/>
  <c r="K3" i="2"/>
  <c r="K4" i="2"/>
  <c r="K5" i="2"/>
  <c r="K6" i="2"/>
  <c r="K7" i="2"/>
  <c r="J1" i="2"/>
  <c r="J7" i="2"/>
  <c r="J6" i="2"/>
  <c r="J5" i="2"/>
  <c r="J4" i="2"/>
  <c r="J3" i="2"/>
  <c r="J2" i="2"/>
  <c r="N36" i="2"/>
  <c r="N37" i="2"/>
  <c r="N38" i="2"/>
  <c r="N39" i="2"/>
  <c r="N40" i="2"/>
  <c r="N35" i="2"/>
  <c r="N30" i="2"/>
  <c r="N31" i="2"/>
  <c r="N29" i="2"/>
  <c r="N24" i="2"/>
  <c r="N20" i="2"/>
  <c r="N21" i="2"/>
  <c r="N22" i="2"/>
  <c r="N23" i="2"/>
  <c r="N25" i="2"/>
  <c r="N19" i="2"/>
  <c r="N18" i="2" s="1"/>
  <c r="N15" i="2"/>
  <c r="N13" i="2"/>
  <c r="N14" i="2"/>
  <c r="N12" i="2"/>
  <c r="N8" i="2"/>
  <c r="N7" i="2" s="1"/>
  <c r="N3" i="2"/>
  <c r="N4" i="2"/>
  <c r="N2" i="2"/>
  <c r="C2" i="1"/>
  <c r="D45" i="1"/>
  <c r="D48" i="1"/>
  <c r="D59" i="1"/>
  <c r="D64" i="1"/>
  <c r="F20" i="2"/>
  <c r="B6" i="2" s="1"/>
  <c r="F17" i="2"/>
  <c r="F18" i="2"/>
  <c r="F16" i="2"/>
  <c r="G16" i="2" s="1"/>
  <c r="F12" i="2"/>
  <c r="G12" i="2" s="1"/>
  <c r="F3" i="2"/>
  <c r="F4" i="2"/>
  <c r="F5" i="2"/>
  <c r="F6" i="2"/>
  <c r="F7" i="2"/>
  <c r="F8" i="2"/>
  <c r="F9" i="2"/>
  <c r="F10" i="2"/>
  <c r="F2" i="2"/>
  <c r="F1" i="2"/>
  <c r="G1" i="2" s="1"/>
  <c r="F22" i="1"/>
  <c r="O20" i="2" l="1"/>
  <c r="O18" i="2"/>
  <c r="O24" i="2"/>
  <c r="O25" i="2"/>
  <c r="O23" i="2"/>
  <c r="O22" i="2"/>
  <c r="O21" i="2"/>
  <c r="O29" i="2"/>
  <c r="O31" i="2"/>
  <c r="O35" i="2"/>
  <c r="O40" i="2"/>
  <c r="O39" i="2"/>
  <c r="O38" i="2"/>
  <c r="O37" i="2"/>
  <c r="O36" i="2"/>
  <c r="O19" i="2"/>
  <c r="N34" i="2"/>
  <c r="O34" i="2" s="1"/>
  <c r="N28" i="2"/>
  <c r="B1" i="2"/>
  <c r="C5" i="2" s="1"/>
  <c r="B2" i="2"/>
  <c r="B3" i="2"/>
  <c r="B4" i="2"/>
  <c r="N11" i="2"/>
  <c r="O12" i="2" s="1"/>
  <c r="O8" i="2"/>
  <c r="N1" i="2"/>
  <c r="O4" i="2" s="1"/>
  <c r="G18" i="2"/>
  <c r="G17" i="2"/>
  <c r="G2" i="2"/>
  <c r="G9" i="2"/>
  <c r="G7" i="2"/>
  <c r="G5" i="2"/>
  <c r="G4" i="2"/>
  <c r="G10" i="2"/>
  <c r="G8" i="2"/>
  <c r="G6" i="2"/>
  <c r="G3" i="2"/>
  <c r="O28" i="2" l="1"/>
  <c r="O30" i="2"/>
  <c r="C3" i="2"/>
  <c r="O15" i="2"/>
  <c r="O13" i="2"/>
  <c r="C4" i="2"/>
  <c r="C2" i="2"/>
  <c r="O14" i="2"/>
  <c r="C6" i="2"/>
  <c r="C1" i="2" s="1"/>
  <c r="O2" i="2"/>
  <c r="O3" i="2"/>
  <c r="O1" i="2"/>
  <c r="O11" i="2" l="1"/>
  <c r="O7" i="2" s="1"/>
</calcChain>
</file>

<file path=xl/sharedStrings.xml><?xml version="1.0" encoding="utf-8"?>
<sst xmlns="http://schemas.openxmlformats.org/spreadsheetml/2006/main" count="350" uniqueCount="176">
  <si>
    <t xml:space="preserve">Ref </t>
  </si>
  <si>
    <t>Nombre</t>
  </si>
  <si>
    <t>Material</t>
  </si>
  <si>
    <t>3.1</t>
  </si>
  <si>
    <t>3.2</t>
  </si>
  <si>
    <t>2.1</t>
  </si>
  <si>
    <t>2.2</t>
  </si>
  <si>
    <t>2.3</t>
  </si>
  <si>
    <t>1.1</t>
  </si>
  <si>
    <t>1.1.1</t>
  </si>
  <si>
    <t>1.1.2</t>
  </si>
  <si>
    <t>1.1.3</t>
  </si>
  <si>
    <t>Cuerpo</t>
  </si>
  <si>
    <t>Carcasa Cuerpo Interior</t>
  </si>
  <si>
    <t>Carcasa Cuerpo Exterior</t>
  </si>
  <si>
    <t>1.1.1.1</t>
  </si>
  <si>
    <t>1.1.1.2</t>
  </si>
  <si>
    <t>Carcasa Cuerpo Exterior Izquierdo</t>
  </si>
  <si>
    <t>Carcasa Cuerpo Exterior Derecho</t>
  </si>
  <si>
    <t>1.1.2.2</t>
  </si>
  <si>
    <t>1.1.2.1</t>
  </si>
  <si>
    <t>Carcasa Cuerpo Interior Izquierdo</t>
  </si>
  <si>
    <t>Carcasa Cuerpo Interior Derecho</t>
  </si>
  <si>
    <t>1.2</t>
  </si>
  <si>
    <t>1.2.1</t>
  </si>
  <si>
    <t>Tuberia</t>
  </si>
  <si>
    <t>1.2.1.1</t>
  </si>
  <si>
    <t>Tuberia Tanque Turbina</t>
  </si>
  <si>
    <t>1.2.1.2</t>
  </si>
  <si>
    <t>Turbina</t>
  </si>
  <si>
    <t>1.2.1.3</t>
  </si>
  <si>
    <t>Tuberia Turbina Bomba</t>
  </si>
  <si>
    <t>1.2.2</t>
  </si>
  <si>
    <t>Bomba</t>
  </si>
  <si>
    <t>1.2.2.1</t>
  </si>
  <si>
    <t>Soporte Bomba</t>
  </si>
  <si>
    <t>1.2.2.2</t>
  </si>
  <si>
    <t>Bobina</t>
  </si>
  <si>
    <t>1.2.1.4</t>
  </si>
  <si>
    <t>Soporte</t>
  </si>
  <si>
    <t>NBR</t>
  </si>
  <si>
    <t>Caucho nitrílico</t>
  </si>
  <si>
    <t>Peso (g)</t>
  </si>
  <si>
    <t>1.2.1.5</t>
  </si>
  <si>
    <t>Muelle</t>
  </si>
  <si>
    <t>https://en.wikipedia.org/wiki/Nitrile_rubber</t>
  </si>
  <si>
    <t>Bomba Vibratoria Ulka</t>
  </si>
  <si>
    <t>1.2.2.3</t>
  </si>
  <si>
    <t>Anillo Intermedio</t>
  </si>
  <si>
    <t>1.2.2.4</t>
  </si>
  <si>
    <t>Anillo Exterior 1</t>
  </si>
  <si>
    <t>1.2.2.5</t>
  </si>
  <si>
    <t>Anillo Exterior 2</t>
  </si>
  <si>
    <t>Polietileno de baja densidad</t>
  </si>
  <si>
    <t>LDPE</t>
  </si>
  <si>
    <t>1.2.2.6</t>
  </si>
  <si>
    <t>1.2.2.7</t>
  </si>
  <si>
    <t>1.2.2.8</t>
  </si>
  <si>
    <t>Tubo Entrada</t>
  </si>
  <si>
    <t>Tubo Salida</t>
  </si>
  <si>
    <t>Piston de Entrada</t>
  </si>
  <si>
    <t>1.2.2.9</t>
  </si>
  <si>
    <t>Piston de Salida</t>
  </si>
  <si>
    <t>1.2.2.10</t>
  </si>
  <si>
    <t>Muelle Entrada</t>
  </si>
  <si>
    <t>1.2.2.11</t>
  </si>
  <si>
    <t>Muelle Salida</t>
  </si>
  <si>
    <t>1.2.2.12</t>
  </si>
  <si>
    <t>1.2.2.13</t>
  </si>
  <si>
    <t>Junta Aislante</t>
  </si>
  <si>
    <t>Arandela</t>
  </si>
  <si>
    <t>Canal Valvula</t>
  </si>
  <si>
    <t>Valvula + Muelle</t>
  </si>
  <si>
    <t>1.2.2.14</t>
  </si>
  <si>
    <t>1.2.2.15</t>
  </si>
  <si>
    <t>1.2.2.16</t>
  </si>
  <si>
    <t>1.3</t>
  </si>
  <si>
    <t>Circuiteria Central</t>
  </si>
  <si>
    <t>1.3.1</t>
  </si>
  <si>
    <t>1.3.2</t>
  </si>
  <si>
    <t>Placa Base</t>
  </si>
  <si>
    <t>Soporte Placa Base</t>
  </si>
  <si>
    <t>1.3.3</t>
  </si>
  <si>
    <t xml:space="preserve">Tapa Placa Base </t>
  </si>
  <si>
    <t>Estructura Cuerpo</t>
  </si>
  <si>
    <t>Manivela</t>
  </si>
  <si>
    <t>1.4</t>
  </si>
  <si>
    <t>Caldera</t>
  </si>
  <si>
    <t>1.4.1</t>
  </si>
  <si>
    <t>Tuberia Bomba-Caldera</t>
  </si>
  <si>
    <t>1.4.2</t>
  </si>
  <si>
    <t>Circuiteria Caldera</t>
  </si>
  <si>
    <t>1.4.2.1</t>
  </si>
  <si>
    <t>Soporte Circuiteria</t>
  </si>
  <si>
    <t>1.4.2.2</t>
  </si>
  <si>
    <t>Cableado + Circuteria + Sonda</t>
  </si>
  <si>
    <t>1.1.4.1</t>
  </si>
  <si>
    <t>Unión Manivela Izquierda</t>
  </si>
  <si>
    <t>1.1.4.2</t>
  </si>
  <si>
    <t>Unión Manivela Derecha</t>
  </si>
  <si>
    <t>1.4.3</t>
  </si>
  <si>
    <t>Cuerpo Caldera</t>
  </si>
  <si>
    <t>1.4.3.1</t>
  </si>
  <si>
    <t>Bloque Caldera</t>
  </si>
  <si>
    <t>1.4.3.2</t>
  </si>
  <si>
    <t>Salida Caldera</t>
  </si>
  <si>
    <t>1.4.3.3</t>
  </si>
  <si>
    <t>Perforador</t>
  </si>
  <si>
    <t>1.4.3.4</t>
  </si>
  <si>
    <t>Muelle Perforador</t>
  </si>
  <si>
    <t>1.4.3.5</t>
  </si>
  <si>
    <t>Porta Capsula</t>
  </si>
  <si>
    <t>1.4.3.6</t>
  </si>
  <si>
    <t>1.4.3.7</t>
  </si>
  <si>
    <t>1.4.3.8</t>
  </si>
  <si>
    <t>Soporte Trasero</t>
  </si>
  <si>
    <t>Soporte Delantero</t>
  </si>
  <si>
    <t>Soporte Inferior</t>
  </si>
  <si>
    <t>1.4.3.9</t>
  </si>
  <si>
    <t>1.4.3.10</t>
  </si>
  <si>
    <t>Embellecedor Boquilla</t>
  </si>
  <si>
    <t>Boquilla</t>
  </si>
  <si>
    <t>1.1.5</t>
  </si>
  <si>
    <t>Botonera</t>
  </si>
  <si>
    <t>Tanque</t>
  </si>
  <si>
    <t>Tapa</t>
  </si>
  <si>
    <t>Valvula</t>
  </si>
  <si>
    <t>SAN</t>
  </si>
  <si>
    <t>Estureno Acrilonitrilo</t>
  </si>
  <si>
    <t>https://es.wikipedia.org/wiki/Estireno_acrilonitrilo</t>
  </si>
  <si>
    <t>PP</t>
  </si>
  <si>
    <t>Polipropileno</t>
  </si>
  <si>
    <t>Porta Taza</t>
  </si>
  <si>
    <t>Pared</t>
  </si>
  <si>
    <t>Base</t>
  </si>
  <si>
    <t>Reserva</t>
  </si>
  <si>
    <t>2.4</t>
  </si>
  <si>
    <t>Rejilla</t>
  </si>
  <si>
    <t>ABS</t>
  </si>
  <si>
    <t>Acrilonitrilo butadieno estireno</t>
  </si>
  <si>
    <t>https://es.wikipedia.org/wiki/Acrilonitrilo_butadieno_estireno</t>
  </si>
  <si>
    <t>PPA</t>
  </si>
  <si>
    <t>Poliftalamida (PA6T/6I)</t>
  </si>
  <si>
    <t>https://en.wikipedia.org/wiki/Polyphthalamide</t>
  </si>
  <si>
    <t>*Metal*</t>
  </si>
  <si>
    <t>*Goma*</t>
  </si>
  <si>
    <t>*Goma* (T4-21)</t>
  </si>
  <si>
    <t>*Goma* (T2/8)</t>
  </si>
  <si>
    <t>*metal*</t>
  </si>
  <si>
    <t>Varios</t>
  </si>
  <si>
    <t>Poliamida</t>
  </si>
  <si>
    <t>PA</t>
  </si>
  <si>
    <t>PA 66</t>
  </si>
  <si>
    <t>PA 6 - GF</t>
  </si>
  <si>
    <t>PA 66 - GF</t>
  </si>
  <si>
    <t>Polímeros</t>
  </si>
  <si>
    <t>*Goma*(ST1/1)</t>
  </si>
  <si>
    <t>Compuesto</t>
  </si>
  <si>
    <t>Polimeros</t>
  </si>
  <si>
    <t>Acrilonitrilo butadieno estireno*</t>
  </si>
  <si>
    <t>Caucho</t>
  </si>
  <si>
    <t>Ceramico</t>
  </si>
  <si>
    <t>Ceramico**</t>
  </si>
  <si>
    <t>Peso Total</t>
  </si>
  <si>
    <t xml:space="preserve"> 2400 g Teórico</t>
  </si>
  <si>
    <t>Metálico</t>
  </si>
  <si>
    <t>Poliamida con Fibra de Videro</t>
  </si>
  <si>
    <t>Composición de Materiales</t>
  </si>
  <si>
    <t>Tanque (3)</t>
  </si>
  <si>
    <t>Porta Taza(2)</t>
  </si>
  <si>
    <t>Estructura del Cuerpo(1.1)</t>
  </si>
  <si>
    <t>Metal</t>
  </si>
  <si>
    <t>Bomba Vibratoria Ulka(1.2)</t>
  </si>
  <si>
    <t>Circuiteria(1.3)</t>
  </si>
  <si>
    <t>Caldera(1.4)</t>
  </si>
  <si>
    <t>Porcetaje de Peso por Elemento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</si>
</sst>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center"/>
    </xf>
    <xf numFmtId="0" fontId="0" fillId="0" borderId="0" xfId="0" applyAlignment="1">
      <alignment horizontal="right"/>
    </xf>
    <xf numFmtId="9" fontId="0" fillId="0" borderId="0" xfId="2" applyFont="1"/>
    <xf numFmtId="10" fontId="0" fillId="0" borderId="0" xfId="2" applyNumberFormat="1" applyFont="1"/>
    <xf numFmtId="10" fontId="0" fillId="0" borderId="0" xfId="0" applyNumberFormat="1"/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Porcetaje de</a:t>
            </a:r>
            <a:r>
              <a:rPr lang="es-ES" baseline="0"/>
              <a:t> Tipo de Materiales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Hoja2!$A$2:$A$6</c:f>
              <c:strCache>
                <c:ptCount val="5"/>
                <c:pt idx="0">
                  <c:v>Polímeros</c:v>
                </c:pt>
                <c:pt idx="1">
                  <c:v>Metálico</c:v>
                </c:pt>
                <c:pt idx="2">
                  <c:v>Compuesto</c:v>
                </c:pt>
                <c:pt idx="3">
                  <c:v>Ceramico</c:v>
                </c:pt>
                <c:pt idx="4">
                  <c:v>Varios</c:v>
                </c:pt>
              </c:strCache>
            </c:strRef>
          </c:cat>
          <c:val>
            <c:numRef>
              <c:f>Hoja2!$C$2:$C$6</c:f>
              <c:numCache>
                <c:formatCode>0.00%</c:formatCode>
                <c:ptCount val="5"/>
                <c:pt idx="0">
                  <c:v>0.56111352762070466</c:v>
                </c:pt>
                <c:pt idx="1">
                  <c:v>0.32405393649412789</c:v>
                </c:pt>
                <c:pt idx="2">
                  <c:v>9.7868638538494993E-2</c:v>
                </c:pt>
                <c:pt idx="3">
                  <c:v>0</c:v>
                </c:pt>
                <c:pt idx="4">
                  <c:v>1.6963897346672467E-2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1-4959-9444-B673118CFD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Hoja2!$I$2:$I$7</c:f>
              <c:strCache>
                <c:ptCount val="6"/>
                <c:pt idx="0">
                  <c:v>Estructura del Cuerpo(1.1)</c:v>
                </c:pt>
                <c:pt idx="1">
                  <c:v>Bomba Vibratoria Ulka(1.2)</c:v>
                </c:pt>
                <c:pt idx="2">
                  <c:v>Circuiteria(1.3)</c:v>
                </c:pt>
                <c:pt idx="3">
                  <c:v>Caldera(1.4)</c:v>
                </c:pt>
                <c:pt idx="4">
                  <c:v>Porta Taza(2)</c:v>
                </c:pt>
                <c:pt idx="5">
                  <c:v>Tanque (3)</c:v>
                </c:pt>
              </c:strCache>
            </c:strRef>
          </c:cat>
          <c:val>
            <c:numRef>
              <c:f>Hoja2!$K$2:$K$7</c:f>
              <c:numCache>
                <c:formatCode>0.00%</c:formatCode>
                <c:ptCount val="6"/>
                <c:pt idx="0">
                  <c:v>0.41388174807197942</c:v>
                </c:pt>
                <c:pt idx="1">
                  <c:v>0.19948586118251929</c:v>
                </c:pt>
                <c:pt idx="2">
                  <c:v>2.056555269922879E-2</c:v>
                </c:pt>
                <c:pt idx="3">
                  <c:v>0.21439588688946015</c:v>
                </c:pt>
                <c:pt idx="4">
                  <c:v>7.7120822622107968E-2</c:v>
                </c:pt>
                <c:pt idx="5">
                  <c:v>7.4550128534704371E-2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F08-8B22-A8C88395EC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Porcentaje de</a:t>
            </a:r>
            <a:r>
              <a:rPr lang="es-ES" baseline="0"/>
              <a:t> Composición de los Polímeros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93-4CEC-92D8-0BA237C09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93-4CEC-92D8-0BA237C091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93-4CEC-92D8-0BA237C091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93-4CEC-92D8-0BA237C091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493-4CEC-92D8-0BA237C091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493-4CEC-92D8-0BA237C091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493-4CEC-92D8-0BA237C091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493-4CEC-92D8-0BA237C091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493-4CEC-92D8-0BA237C091D0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Hoja2!$E$2:$E$10</c:f>
              <c:strCache>
                <c:ptCount val="9"/>
                <c:pt idx="0">
                  <c:v>ABS</c:v>
                </c:pt>
                <c:pt idx="1">
                  <c:v>PPA</c:v>
                </c:pt>
                <c:pt idx="2">
                  <c:v>PP</c:v>
                </c:pt>
                <c:pt idx="3">
                  <c:v>NBR</c:v>
                </c:pt>
                <c:pt idx="4">
                  <c:v>LDPE</c:v>
                </c:pt>
                <c:pt idx="5">
                  <c:v>PA</c:v>
                </c:pt>
                <c:pt idx="6">
                  <c:v>PA 66</c:v>
                </c:pt>
                <c:pt idx="7">
                  <c:v>SAN</c:v>
                </c:pt>
                <c:pt idx="8">
                  <c:v>Caucho</c:v>
                </c:pt>
              </c:strCache>
            </c:strRef>
          </c:cat>
          <c:val>
            <c:numRef>
              <c:f>Hoja2!$G$2:$G$10</c:f>
              <c:numCache>
                <c:formatCode>0.00%</c:formatCode>
                <c:ptCount val="9"/>
                <c:pt idx="0">
                  <c:v>0.78449612403100777</c:v>
                </c:pt>
                <c:pt idx="1">
                  <c:v>1.3953488372093023E-2</c:v>
                </c:pt>
                <c:pt idx="2">
                  <c:v>2.0930232558139535E-2</c:v>
                </c:pt>
                <c:pt idx="3">
                  <c:v>2.3255813953488372E-3</c:v>
                </c:pt>
                <c:pt idx="4">
                  <c:v>1.3953488372093023E-2</c:v>
                </c:pt>
                <c:pt idx="5">
                  <c:v>4.4961240310077519E-2</c:v>
                </c:pt>
                <c:pt idx="6">
                  <c:v>3.875968992248062E-3</c:v>
                </c:pt>
                <c:pt idx="7">
                  <c:v>0.10155038759689923</c:v>
                </c:pt>
                <c:pt idx="8">
                  <c:v>1.3953488372093023E-2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493-4CEC-92D8-0BA237C091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Porcentaje de</a:t>
            </a:r>
            <a:r>
              <a:rPr lang="es-ES" baseline="0"/>
              <a:t> Composición de los Materiales Compuestos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Hoja2!$E$17:$E$18</c:f>
              <c:strCache>
                <c:ptCount val="2"/>
                <c:pt idx="0">
                  <c:v>PA 6 - GF</c:v>
                </c:pt>
                <c:pt idx="1">
                  <c:v>PA 66 - GF</c:v>
                </c:pt>
              </c:strCache>
            </c:strRef>
          </c:cat>
          <c:val>
            <c:numRef>
              <c:f>Hoja2!$G$17:$G$18</c:f>
              <c:numCache>
                <c:formatCode>0.00%</c:formatCode>
                <c:ptCount val="2"/>
                <c:pt idx="0">
                  <c:v>0.28000000000000003</c:v>
                </c:pt>
                <c:pt idx="1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EB8-4545-BA77-8D4EA2DC4B2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112059</xdr:colOff>
      <xdr:row>7</xdr:row>
      <xdr:rowOff>180414</xdr:rowOff>
    </xdr:from>
    <xdr:to>
      <xdr:col>3</xdr:col>
      <xdr:colOff>481854</xdr:colOff>
      <xdr:row>22</xdr:row>
      <xdr:rowOff>134471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55265C-5177-A23A-F198-75FDAF497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25</xdr:row>
      <xdr:rowOff>23532</xdr:rowOff>
    </xdr:from>
    <xdr:to>
      <xdr:col>3</xdr:col>
      <xdr:colOff>470648</xdr:colOff>
      <xdr:row>40</xdr:row>
      <xdr:rowOff>44824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938D2D-62A1-EB98-2831-E47B2672E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224117</xdr:colOff>
      <xdr:row>8</xdr:row>
      <xdr:rowOff>79561</xdr:rowOff>
    </xdr:from>
    <xdr:to>
      <xdr:col>11</xdr:col>
      <xdr:colOff>638736</xdr:colOff>
      <xdr:row>32</xdr:row>
      <xdr:rowOff>11206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458ADE-42B2-4A13-03F5-07C789F07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190499</xdr:colOff>
      <xdr:row>33</xdr:row>
      <xdr:rowOff>156882</xdr:rowOff>
    </xdr:from>
    <xdr:to>
      <xdr:col>11</xdr:col>
      <xdr:colOff>605118</xdr:colOff>
      <xdr:row>57</xdr:row>
      <xdr:rowOff>88527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F80F74D-7739-4043-95F0-CD6266419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Nitrile_rubb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opLeftCell="A28" workbookViewId="0">
      <selection activeCell="D57" sqref="D57"/>
    </sheetView>
  </sheetViews>
  <sheetFormatPr baseColWidth="10" defaultColWidth="9.140625" defaultRowHeight="15" x14ac:dyDescent="0.25"/>
  <cols>
    <col min="1" max="1" width="16.85546875" style="2" customWidth="1"/>
    <col min="2" max="2" width="36.5703125" style="2" customWidth="1"/>
    <col min="3" max="3" width="23" style="1" customWidth="1"/>
    <col min="4" max="4" width="22" style="1" customWidth="1"/>
    <col min="5" max="5" width="37.28515625" style="1" customWidth="1"/>
    <col min="6" max="6" width="60.42578125" style="1" customWidth="1"/>
    <col min="7" max="7" width="25" style="1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1" t="s">
        <v>42</v>
      </c>
      <c r="D1" s="1" t="s">
        <v>2</v>
      </c>
    </row>
    <row r="2" spans="1:7" x14ac:dyDescent="0.25">
      <c r="B2" s="2" t="s">
        <v>163</v>
      </c>
      <c r="C2" s="1">
        <f>SUM(C6:C7,C9:C14,C17:C21,C23:C38,C40:C42,C44,C46:C47,C49:C58,C60:C63,C65:C67)</f>
        <v>2299</v>
      </c>
      <c r="D2" s="1" t="s">
        <v>164</v>
      </c>
    </row>
    <row r="3" spans="1:7" x14ac:dyDescent="0.25">
      <c r="A3" s="2">
        <v>1</v>
      </c>
      <c r="B3" s="2" t="s">
        <v>12</v>
      </c>
    </row>
    <row r="4" spans="1:7" x14ac:dyDescent="0.25">
      <c r="A4" s="2" t="s">
        <v>8</v>
      </c>
      <c r="B4" s="2" t="s">
        <v>84</v>
      </c>
    </row>
    <row r="5" spans="1:7" x14ac:dyDescent="0.25">
      <c r="A5" s="2" t="s">
        <v>9</v>
      </c>
      <c r="B5" s="2" t="s">
        <v>14</v>
      </c>
    </row>
    <row r="6" spans="1:7" x14ac:dyDescent="0.25">
      <c r="A6" s="2" t="s">
        <v>15</v>
      </c>
      <c r="B6" s="2" t="s">
        <v>17</v>
      </c>
      <c r="C6" s="1">
        <v>113</v>
      </c>
      <c r="D6" s="1" t="s">
        <v>138</v>
      </c>
      <c r="E6" s="1" t="s">
        <v>139</v>
      </c>
      <c r="F6" s="1" t="s">
        <v>140</v>
      </c>
      <c r="G6" s="1" t="s">
        <v>155</v>
      </c>
    </row>
    <row r="7" spans="1:7" x14ac:dyDescent="0.25">
      <c r="A7" s="2" t="s">
        <v>16</v>
      </c>
      <c r="B7" s="2" t="s">
        <v>18</v>
      </c>
      <c r="C7" s="1">
        <v>115</v>
      </c>
      <c r="D7" s="1" t="s">
        <v>138</v>
      </c>
      <c r="E7" s="1" t="s">
        <v>139</v>
      </c>
      <c r="F7" s="1" t="s">
        <v>140</v>
      </c>
      <c r="G7" s="1" t="s">
        <v>155</v>
      </c>
    </row>
    <row r="8" spans="1:7" x14ac:dyDescent="0.25">
      <c r="A8" s="2" t="s">
        <v>10</v>
      </c>
      <c r="B8" s="2" t="s">
        <v>13</v>
      </c>
    </row>
    <row r="9" spans="1:7" x14ac:dyDescent="0.25">
      <c r="A9" s="2" t="s">
        <v>20</v>
      </c>
      <c r="B9" s="2" t="s">
        <v>21</v>
      </c>
      <c r="C9" s="1">
        <v>161</v>
      </c>
      <c r="D9" s="1" t="s">
        <v>138</v>
      </c>
      <c r="E9" s="1" t="s">
        <v>139</v>
      </c>
      <c r="F9" s="1" t="s">
        <v>140</v>
      </c>
      <c r="G9" s="1" t="s">
        <v>155</v>
      </c>
    </row>
    <row r="10" spans="1:7" x14ac:dyDescent="0.25">
      <c r="A10" s="2" t="s">
        <v>19</v>
      </c>
      <c r="B10" s="2" t="s">
        <v>22</v>
      </c>
      <c r="C10" s="1">
        <v>246</v>
      </c>
      <c r="D10" s="1" t="s">
        <v>138</v>
      </c>
      <c r="E10" s="1" t="s">
        <v>139</v>
      </c>
      <c r="F10" s="1" t="s">
        <v>140</v>
      </c>
      <c r="G10" s="1" t="s">
        <v>155</v>
      </c>
    </row>
    <row r="11" spans="1:7" x14ac:dyDescent="0.25">
      <c r="A11" s="2" t="s">
        <v>11</v>
      </c>
      <c r="B11" s="2" t="s">
        <v>85</v>
      </c>
      <c r="C11" s="1">
        <v>145</v>
      </c>
      <c r="E11" s="1" t="s">
        <v>144</v>
      </c>
      <c r="G11" s="1" t="s">
        <v>165</v>
      </c>
    </row>
    <row r="12" spans="1:7" x14ac:dyDescent="0.25">
      <c r="A12" s="2" t="s">
        <v>96</v>
      </c>
      <c r="B12" s="2" t="s">
        <v>97</v>
      </c>
      <c r="C12" s="1">
        <v>9</v>
      </c>
      <c r="D12" s="1" t="s">
        <v>141</v>
      </c>
      <c r="E12" s="1" t="s">
        <v>142</v>
      </c>
      <c r="F12" s="1" t="s">
        <v>143</v>
      </c>
      <c r="G12" s="1" t="s">
        <v>155</v>
      </c>
    </row>
    <row r="13" spans="1:7" x14ac:dyDescent="0.25">
      <c r="A13" s="2" t="s">
        <v>98</v>
      </c>
      <c r="B13" s="2" t="s">
        <v>99</v>
      </c>
      <c r="C13" s="1">
        <v>9</v>
      </c>
      <c r="D13" s="1" t="s">
        <v>141</v>
      </c>
      <c r="E13" s="1" t="s">
        <v>142</v>
      </c>
      <c r="F13" s="1" t="s">
        <v>143</v>
      </c>
      <c r="G13" s="1" t="s">
        <v>155</v>
      </c>
    </row>
    <row r="14" spans="1:7" x14ac:dyDescent="0.25">
      <c r="A14" s="2" t="s">
        <v>122</v>
      </c>
      <c r="B14" s="2" t="s">
        <v>123</v>
      </c>
      <c r="C14" s="1">
        <v>7</v>
      </c>
      <c r="D14" s="1" t="s">
        <v>160</v>
      </c>
      <c r="E14" s="1" t="s">
        <v>146</v>
      </c>
      <c r="G14" s="1" t="s">
        <v>155</v>
      </c>
    </row>
    <row r="15" spans="1:7" x14ac:dyDescent="0.25">
      <c r="A15" s="2" t="s">
        <v>23</v>
      </c>
      <c r="B15" s="2" t="s">
        <v>46</v>
      </c>
    </row>
    <row r="16" spans="1:7" x14ac:dyDescent="0.25">
      <c r="A16" s="2" t="s">
        <v>24</v>
      </c>
      <c r="B16" s="2" t="s">
        <v>25</v>
      </c>
    </row>
    <row r="17" spans="1:7" x14ac:dyDescent="0.25">
      <c r="A17" s="2" t="s">
        <v>26</v>
      </c>
      <c r="B17" s="2" t="s">
        <v>27</v>
      </c>
      <c r="C17" s="1">
        <v>6</v>
      </c>
      <c r="D17" s="1" t="s">
        <v>160</v>
      </c>
      <c r="E17" s="1" t="s">
        <v>147</v>
      </c>
      <c r="G17" s="1" t="s">
        <v>155</v>
      </c>
    </row>
    <row r="18" spans="1:7" x14ac:dyDescent="0.25">
      <c r="A18" s="2" t="s">
        <v>28</v>
      </c>
      <c r="B18" s="2" t="s">
        <v>29</v>
      </c>
      <c r="C18" s="1">
        <v>4</v>
      </c>
      <c r="D18" s="1" t="s">
        <v>130</v>
      </c>
      <c r="E18" s="1" t="s">
        <v>131</v>
      </c>
      <c r="G18" s="1" t="s">
        <v>155</v>
      </c>
    </row>
    <row r="19" spans="1:7" x14ac:dyDescent="0.25">
      <c r="A19" s="2" t="s">
        <v>30</v>
      </c>
      <c r="B19" s="2" t="s">
        <v>31</v>
      </c>
      <c r="C19" s="1">
        <v>5</v>
      </c>
      <c r="D19" s="1" t="s">
        <v>160</v>
      </c>
      <c r="E19" s="1" t="s">
        <v>156</v>
      </c>
      <c r="G19" s="1" t="s">
        <v>155</v>
      </c>
    </row>
    <row r="20" spans="1:7" x14ac:dyDescent="0.25">
      <c r="A20" s="2" t="s">
        <v>38</v>
      </c>
      <c r="B20" s="2" t="s">
        <v>39</v>
      </c>
      <c r="C20" s="1">
        <v>3</v>
      </c>
      <c r="D20" s="1" t="s">
        <v>40</v>
      </c>
      <c r="E20" s="1" t="s">
        <v>41</v>
      </c>
      <c r="F20" s="3" t="s">
        <v>45</v>
      </c>
      <c r="G20" s="1" t="s">
        <v>155</v>
      </c>
    </row>
    <row r="21" spans="1:7" x14ac:dyDescent="0.25">
      <c r="A21" s="2" t="s">
        <v>43</v>
      </c>
      <c r="B21" s="2" t="s">
        <v>44</v>
      </c>
      <c r="C21" s="1">
        <v>2</v>
      </c>
      <c r="E21" s="1" t="s">
        <v>148</v>
      </c>
      <c r="G21" s="1" t="s">
        <v>165</v>
      </c>
    </row>
    <row r="22" spans="1:7" x14ac:dyDescent="0.25">
      <c r="A22" s="2" t="s">
        <v>32</v>
      </c>
      <c r="B22" s="2" t="s">
        <v>33</v>
      </c>
      <c r="D22" s="1">
        <v>370</v>
      </c>
      <c r="F22" s="1">
        <f>SUM(C23:C38)</f>
        <v>368</v>
      </c>
    </row>
    <row r="23" spans="1:7" x14ac:dyDescent="0.25">
      <c r="A23" s="2" t="s">
        <v>34</v>
      </c>
      <c r="B23" s="2" t="s">
        <v>35</v>
      </c>
      <c r="C23" s="1">
        <v>119</v>
      </c>
      <c r="E23" s="1" t="s">
        <v>148</v>
      </c>
      <c r="G23" s="1" t="s">
        <v>165</v>
      </c>
    </row>
    <row r="24" spans="1:7" x14ac:dyDescent="0.25">
      <c r="A24" s="2" t="s">
        <v>36</v>
      </c>
      <c r="B24" s="2" t="s">
        <v>37</v>
      </c>
      <c r="C24" s="1">
        <v>155</v>
      </c>
      <c r="D24" s="1" t="s">
        <v>138</v>
      </c>
      <c r="E24" s="1" t="s">
        <v>159</v>
      </c>
      <c r="G24" s="1" t="s">
        <v>155</v>
      </c>
    </row>
    <row r="25" spans="1:7" x14ac:dyDescent="0.25">
      <c r="A25" s="2" t="s">
        <v>47</v>
      </c>
      <c r="B25" s="2" t="s">
        <v>48</v>
      </c>
      <c r="C25" s="1">
        <v>1</v>
      </c>
      <c r="D25" s="1" t="s">
        <v>54</v>
      </c>
      <c r="E25" s="1" t="s">
        <v>53</v>
      </c>
      <c r="G25" s="1" t="s">
        <v>155</v>
      </c>
    </row>
    <row r="26" spans="1:7" x14ac:dyDescent="0.25">
      <c r="A26" s="2" t="s">
        <v>49</v>
      </c>
      <c r="B26" s="2" t="s">
        <v>50</v>
      </c>
      <c r="C26" s="1">
        <v>19</v>
      </c>
      <c r="E26" s="1" t="s">
        <v>148</v>
      </c>
      <c r="G26" s="1" t="s">
        <v>165</v>
      </c>
    </row>
    <row r="27" spans="1:7" x14ac:dyDescent="0.25">
      <c r="A27" s="2" t="s">
        <v>51</v>
      </c>
      <c r="B27" s="2" t="s">
        <v>52</v>
      </c>
      <c r="C27" s="1">
        <v>19</v>
      </c>
      <c r="E27" s="1" t="s">
        <v>148</v>
      </c>
      <c r="G27" s="1" t="s">
        <v>165</v>
      </c>
    </row>
    <row r="28" spans="1:7" x14ac:dyDescent="0.25">
      <c r="A28" s="2" t="s">
        <v>55</v>
      </c>
      <c r="B28" s="2" t="s">
        <v>69</v>
      </c>
      <c r="C28" s="1">
        <v>0</v>
      </c>
      <c r="D28" s="1" t="s">
        <v>160</v>
      </c>
      <c r="E28" s="1" t="s">
        <v>145</v>
      </c>
      <c r="G28" s="1" t="s">
        <v>155</v>
      </c>
    </row>
    <row r="29" spans="1:7" x14ac:dyDescent="0.25">
      <c r="A29" s="2" t="s">
        <v>56</v>
      </c>
      <c r="B29" s="2" t="s">
        <v>58</v>
      </c>
      <c r="C29" s="1">
        <v>6</v>
      </c>
      <c r="D29" s="1" t="s">
        <v>54</v>
      </c>
      <c r="E29" s="1" t="s">
        <v>53</v>
      </c>
      <c r="G29" s="1" t="s">
        <v>155</v>
      </c>
    </row>
    <row r="30" spans="1:7" x14ac:dyDescent="0.25">
      <c r="A30" s="2" t="s">
        <v>57</v>
      </c>
      <c r="B30" s="2" t="s">
        <v>59</v>
      </c>
      <c r="C30" s="1">
        <v>10</v>
      </c>
      <c r="D30" s="1" t="s">
        <v>54</v>
      </c>
      <c r="E30" s="1" t="s">
        <v>53</v>
      </c>
      <c r="G30" s="1" t="s">
        <v>155</v>
      </c>
    </row>
    <row r="31" spans="1:7" x14ac:dyDescent="0.25">
      <c r="A31" s="2" t="s">
        <v>61</v>
      </c>
      <c r="B31" s="2" t="s">
        <v>60</v>
      </c>
      <c r="C31" s="1">
        <v>9</v>
      </c>
      <c r="E31" s="1" t="s">
        <v>148</v>
      </c>
      <c r="G31" s="1" t="s">
        <v>165</v>
      </c>
    </row>
    <row r="32" spans="1:7" x14ac:dyDescent="0.25">
      <c r="A32" s="2" t="s">
        <v>63</v>
      </c>
      <c r="B32" s="2" t="s">
        <v>62</v>
      </c>
      <c r="C32" s="1">
        <v>21</v>
      </c>
      <c r="E32" s="1" t="s">
        <v>148</v>
      </c>
      <c r="G32" s="1" t="s">
        <v>165</v>
      </c>
    </row>
    <row r="33" spans="1:7" x14ac:dyDescent="0.25">
      <c r="A33" s="2" t="s">
        <v>65</v>
      </c>
      <c r="B33" s="2" t="s">
        <v>64</v>
      </c>
      <c r="C33" s="1">
        <v>2</v>
      </c>
      <c r="E33" s="1" t="s">
        <v>148</v>
      </c>
      <c r="G33" s="1" t="s">
        <v>165</v>
      </c>
    </row>
    <row r="34" spans="1:7" x14ac:dyDescent="0.25">
      <c r="A34" s="2" t="s">
        <v>67</v>
      </c>
      <c r="B34" s="2" t="s">
        <v>66</v>
      </c>
      <c r="C34" s="1">
        <v>4</v>
      </c>
      <c r="E34" s="1" t="s">
        <v>148</v>
      </c>
      <c r="G34" s="1" t="s">
        <v>165</v>
      </c>
    </row>
    <row r="35" spans="1:7" x14ac:dyDescent="0.25">
      <c r="A35" s="2" t="s">
        <v>68</v>
      </c>
      <c r="B35" s="2" t="s">
        <v>70</v>
      </c>
      <c r="C35" s="1">
        <v>1</v>
      </c>
      <c r="D35" s="1" t="s">
        <v>54</v>
      </c>
      <c r="E35" s="1" t="s">
        <v>53</v>
      </c>
      <c r="G35" s="1" t="s">
        <v>155</v>
      </c>
    </row>
    <row r="36" spans="1:7" x14ac:dyDescent="0.25">
      <c r="A36" s="2" t="s">
        <v>73</v>
      </c>
      <c r="B36" s="2" t="s">
        <v>71</v>
      </c>
      <c r="C36" s="1">
        <v>2</v>
      </c>
      <c r="D36" s="1" t="s">
        <v>138</v>
      </c>
      <c r="E36" s="1" t="s">
        <v>159</v>
      </c>
      <c r="G36" s="1" t="s">
        <v>155</v>
      </c>
    </row>
    <row r="37" spans="1:7" x14ac:dyDescent="0.25">
      <c r="A37" s="2" t="s">
        <v>74</v>
      </c>
      <c r="B37" s="2" t="s">
        <v>72</v>
      </c>
      <c r="C37" s="1">
        <v>0</v>
      </c>
      <c r="D37" s="1" t="s">
        <v>149</v>
      </c>
      <c r="E37" s="1" t="s">
        <v>149</v>
      </c>
      <c r="G37" s="1" t="s">
        <v>149</v>
      </c>
    </row>
    <row r="38" spans="1:7" x14ac:dyDescent="0.25">
      <c r="A38" s="2" t="s">
        <v>75</v>
      </c>
      <c r="B38" s="2" t="s">
        <v>69</v>
      </c>
      <c r="C38" s="1">
        <v>0</v>
      </c>
      <c r="D38" s="1" t="s">
        <v>160</v>
      </c>
      <c r="E38" s="1" t="s">
        <v>145</v>
      </c>
      <c r="G38" s="1" t="s">
        <v>155</v>
      </c>
    </row>
    <row r="39" spans="1:7" x14ac:dyDescent="0.25">
      <c r="A39" s="2" t="s">
        <v>76</v>
      </c>
      <c r="B39" s="2" t="s">
        <v>77</v>
      </c>
    </row>
    <row r="40" spans="1:7" x14ac:dyDescent="0.25">
      <c r="A40" s="2" t="s">
        <v>78</v>
      </c>
      <c r="B40" s="2" t="s">
        <v>80</v>
      </c>
      <c r="C40" s="1">
        <v>19</v>
      </c>
      <c r="D40" s="1" t="s">
        <v>149</v>
      </c>
      <c r="E40" s="1" t="s">
        <v>149</v>
      </c>
      <c r="G40" s="1" t="s">
        <v>149</v>
      </c>
    </row>
    <row r="41" spans="1:7" x14ac:dyDescent="0.25">
      <c r="A41" s="2" t="s">
        <v>79</v>
      </c>
      <c r="B41" s="2" t="s">
        <v>81</v>
      </c>
      <c r="C41" s="1">
        <v>16</v>
      </c>
      <c r="D41" s="1" t="s">
        <v>151</v>
      </c>
      <c r="E41" s="1" t="s">
        <v>150</v>
      </c>
      <c r="G41" s="1" t="s">
        <v>155</v>
      </c>
    </row>
    <row r="42" spans="1:7" x14ac:dyDescent="0.25">
      <c r="A42" s="2" t="s">
        <v>82</v>
      </c>
      <c r="B42" s="2" t="s">
        <v>83</v>
      </c>
      <c r="C42" s="1">
        <v>5</v>
      </c>
      <c r="D42" s="1" t="s">
        <v>152</v>
      </c>
      <c r="E42" s="1" t="s">
        <v>150</v>
      </c>
      <c r="G42" s="1" t="s">
        <v>155</v>
      </c>
    </row>
    <row r="43" spans="1:7" x14ac:dyDescent="0.25">
      <c r="A43" s="2" t="s">
        <v>86</v>
      </c>
      <c r="B43" s="2" t="s">
        <v>87</v>
      </c>
      <c r="C43" s="4"/>
    </row>
    <row r="44" spans="1:7" x14ac:dyDescent="0.25">
      <c r="A44" s="2" t="s">
        <v>88</v>
      </c>
      <c r="B44" s="2" t="s">
        <v>89</v>
      </c>
      <c r="C44" s="1">
        <v>4</v>
      </c>
      <c r="D44" s="1" t="s">
        <v>151</v>
      </c>
      <c r="E44" s="1" t="s">
        <v>150</v>
      </c>
      <c r="G44" s="1" t="s">
        <v>155</v>
      </c>
    </row>
    <row r="45" spans="1:7" x14ac:dyDescent="0.25">
      <c r="A45" s="2" t="s">
        <v>90</v>
      </c>
      <c r="B45" s="2" t="s">
        <v>91</v>
      </c>
      <c r="D45" s="1">
        <f>SUM(C46:C47)</f>
        <v>32</v>
      </c>
    </row>
    <row r="46" spans="1:7" x14ac:dyDescent="0.25">
      <c r="A46" s="2" t="s">
        <v>92</v>
      </c>
      <c r="B46" s="2" t="s">
        <v>93</v>
      </c>
      <c r="C46" s="1">
        <v>13</v>
      </c>
      <c r="D46" s="1" t="s">
        <v>138</v>
      </c>
      <c r="E46" s="1" t="s">
        <v>159</v>
      </c>
      <c r="G46" s="1" t="s">
        <v>155</v>
      </c>
    </row>
    <row r="47" spans="1:7" x14ac:dyDescent="0.25">
      <c r="A47" s="2" t="s">
        <v>94</v>
      </c>
      <c r="B47" s="2" t="s">
        <v>95</v>
      </c>
      <c r="C47" s="1">
        <v>19</v>
      </c>
      <c r="D47" s="1" t="s">
        <v>149</v>
      </c>
      <c r="E47" s="1" t="s">
        <v>149</v>
      </c>
      <c r="G47" s="1" t="s">
        <v>149</v>
      </c>
    </row>
    <row r="48" spans="1:7" x14ac:dyDescent="0.25">
      <c r="A48" s="2" t="s">
        <v>100</v>
      </c>
      <c r="B48" s="2" t="s">
        <v>101</v>
      </c>
      <c r="D48" s="1">
        <f>SUM(C49:C58)</f>
        <v>735</v>
      </c>
    </row>
    <row r="49" spans="1:7" x14ac:dyDescent="0.25">
      <c r="A49" s="2" t="s">
        <v>102</v>
      </c>
      <c r="B49" s="2" t="s">
        <v>103</v>
      </c>
      <c r="C49" s="1">
        <v>401</v>
      </c>
      <c r="E49" s="1" t="s">
        <v>148</v>
      </c>
      <c r="G49" s="1" t="s">
        <v>165</v>
      </c>
    </row>
    <row r="50" spans="1:7" x14ac:dyDescent="0.25">
      <c r="A50" s="2" t="s">
        <v>104</v>
      </c>
      <c r="B50" s="2" t="s">
        <v>105</v>
      </c>
      <c r="C50" s="1">
        <v>41</v>
      </c>
      <c r="D50" s="1" t="s">
        <v>153</v>
      </c>
      <c r="E50" s="1" t="s">
        <v>166</v>
      </c>
      <c r="G50" s="1" t="s">
        <v>157</v>
      </c>
    </row>
    <row r="51" spans="1:7" x14ac:dyDescent="0.25">
      <c r="A51" s="2" t="s">
        <v>106</v>
      </c>
      <c r="B51" s="2" t="s">
        <v>107</v>
      </c>
      <c r="C51" s="1">
        <v>0</v>
      </c>
      <c r="D51" s="1" t="s">
        <v>161</v>
      </c>
      <c r="E51" s="1" t="s">
        <v>162</v>
      </c>
      <c r="G51" s="1" t="s">
        <v>161</v>
      </c>
    </row>
    <row r="52" spans="1:7" x14ac:dyDescent="0.25">
      <c r="A52" s="2" t="s">
        <v>108</v>
      </c>
      <c r="B52" s="2" t="s">
        <v>109</v>
      </c>
      <c r="C52" s="1">
        <v>4</v>
      </c>
      <c r="E52" s="1" t="s">
        <v>148</v>
      </c>
      <c r="G52" s="1" t="s">
        <v>165</v>
      </c>
    </row>
    <row r="53" spans="1:7" x14ac:dyDescent="0.25">
      <c r="A53" s="2" t="s">
        <v>110</v>
      </c>
      <c r="B53" s="2" t="s">
        <v>111</v>
      </c>
      <c r="C53" s="1">
        <v>22</v>
      </c>
      <c r="D53" s="1" t="s">
        <v>153</v>
      </c>
      <c r="E53" s="1" t="s">
        <v>166</v>
      </c>
      <c r="G53" s="1" t="s">
        <v>157</v>
      </c>
    </row>
    <row r="54" spans="1:7" x14ac:dyDescent="0.25">
      <c r="A54" s="2" t="s">
        <v>112</v>
      </c>
      <c r="B54" s="2" t="s">
        <v>115</v>
      </c>
      <c r="C54" s="1">
        <v>38</v>
      </c>
      <c r="D54" s="1" t="s">
        <v>151</v>
      </c>
      <c r="E54" s="1" t="s">
        <v>150</v>
      </c>
      <c r="G54" s="1" t="s">
        <v>155</v>
      </c>
    </row>
    <row r="55" spans="1:7" x14ac:dyDescent="0.25">
      <c r="A55" s="2" t="s">
        <v>113</v>
      </c>
      <c r="B55" s="2" t="s">
        <v>116</v>
      </c>
      <c r="C55" s="1">
        <v>162</v>
      </c>
      <c r="D55" s="1" t="s">
        <v>154</v>
      </c>
      <c r="E55" s="1" t="s">
        <v>166</v>
      </c>
      <c r="G55" s="1" t="s">
        <v>157</v>
      </c>
    </row>
    <row r="56" spans="1:7" x14ac:dyDescent="0.25">
      <c r="A56" s="2" t="s">
        <v>114</v>
      </c>
      <c r="B56" s="2" t="s">
        <v>117</v>
      </c>
      <c r="C56" s="1">
        <v>13</v>
      </c>
      <c r="D56" s="1" t="s">
        <v>138</v>
      </c>
      <c r="E56" s="1" t="s">
        <v>139</v>
      </c>
      <c r="F56" s="1" t="s">
        <v>140</v>
      </c>
      <c r="G56" s="1" t="s">
        <v>155</v>
      </c>
    </row>
    <row r="57" spans="1:7" x14ac:dyDescent="0.25">
      <c r="A57" s="2" t="s">
        <v>118</v>
      </c>
      <c r="B57" s="2" t="s">
        <v>121</v>
      </c>
      <c r="C57" s="1">
        <v>10</v>
      </c>
      <c r="D57" s="1" t="s">
        <v>130</v>
      </c>
      <c r="E57" s="1" t="s">
        <v>131</v>
      </c>
      <c r="G57" s="1" t="s">
        <v>155</v>
      </c>
    </row>
    <row r="58" spans="1:7" x14ac:dyDescent="0.25">
      <c r="A58" s="2" t="s">
        <v>119</v>
      </c>
      <c r="B58" s="2" t="s">
        <v>120</v>
      </c>
      <c r="C58" s="1">
        <v>44</v>
      </c>
      <c r="D58" s="1" t="s">
        <v>138</v>
      </c>
      <c r="E58" s="1" t="s">
        <v>139</v>
      </c>
      <c r="F58" s="1" t="s">
        <v>140</v>
      </c>
      <c r="G58" s="1" t="s">
        <v>155</v>
      </c>
    </row>
    <row r="59" spans="1:7" x14ac:dyDescent="0.25">
      <c r="A59" s="2">
        <v>2</v>
      </c>
      <c r="B59" s="2" t="s">
        <v>132</v>
      </c>
      <c r="D59" s="1">
        <f>SUM(C60:C63)</f>
        <v>150</v>
      </c>
    </row>
    <row r="60" spans="1:7" x14ac:dyDescent="0.25">
      <c r="A60" s="2" t="s">
        <v>5</v>
      </c>
      <c r="B60" s="2" t="s">
        <v>133</v>
      </c>
      <c r="C60" s="1">
        <v>62</v>
      </c>
      <c r="D60" s="1" t="s">
        <v>138</v>
      </c>
      <c r="E60" s="1" t="s">
        <v>139</v>
      </c>
      <c r="F60" s="1" t="s">
        <v>140</v>
      </c>
      <c r="G60" s="1" t="s">
        <v>155</v>
      </c>
    </row>
    <row r="61" spans="1:7" x14ac:dyDescent="0.25">
      <c r="A61" s="2" t="s">
        <v>6</v>
      </c>
      <c r="B61" s="2" t="s">
        <v>135</v>
      </c>
      <c r="C61" s="1">
        <v>43</v>
      </c>
      <c r="D61" s="1" t="s">
        <v>138</v>
      </c>
      <c r="E61" s="1" t="s">
        <v>139</v>
      </c>
      <c r="F61" s="1" t="s">
        <v>140</v>
      </c>
      <c r="G61" s="1" t="s">
        <v>155</v>
      </c>
    </row>
    <row r="62" spans="1:7" x14ac:dyDescent="0.25">
      <c r="A62" s="2" t="s">
        <v>7</v>
      </c>
      <c r="B62" s="2" t="s">
        <v>134</v>
      </c>
      <c r="C62" s="1">
        <v>33</v>
      </c>
      <c r="D62" s="1" t="s">
        <v>138</v>
      </c>
      <c r="E62" s="1" t="s">
        <v>139</v>
      </c>
      <c r="F62" s="1" t="s">
        <v>140</v>
      </c>
      <c r="G62" s="1" t="s">
        <v>155</v>
      </c>
    </row>
    <row r="63" spans="1:7" x14ac:dyDescent="0.25">
      <c r="A63" s="2" t="s">
        <v>136</v>
      </c>
      <c r="B63" s="2" t="s">
        <v>137</v>
      </c>
      <c r="C63" s="1">
        <v>12</v>
      </c>
      <c r="D63" s="1" t="s">
        <v>138</v>
      </c>
      <c r="E63" s="1" t="s">
        <v>139</v>
      </c>
      <c r="F63" s="1" t="s">
        <v>140</v>
      </c>
      <c r="G63" s="1" t="s">
        <v>155</v>
      </c>
    </row>
    <row r="64" spans="1:7" x14ac:dyDescent="0.25">
      <c r="A64" s="2">
        <v>3</v>
      </c>
      <c r="B64" s="2" t="s">
        <v>124</v>
      </c>
      <c r="D64" s="1">
        <f>SUM(C65:C67)</f>
        <v>145</v>
      </c>
    </row>
    <row r="65" spans="1:7" x14ac:dyDescent="0.25">
      <c r="A65" s="2" t="s">
        <v>3</v>
      </c>
      <c r="B65" s="2" t="s">
        <v>124</v>
      </c>
      <c r="C65" s="1">
        <v>131</v>
      </c>
      <c r="D65" s="1" t="s">
        <v>127</v>
      </c>
      <c r="E65" s="1" t="s">
        <v>128</v>
      </c>
      <c r="F65" s="1" t="s">
        <v>129</v>
      </c>
      <c r="G65" s="1" t="s">
        <v>155</v>
      </c>
    </row>
    <row r="66" spans="1:7" x14ac:dyDescent="0.25">
      <c r="A66" s="2" t="s">
        <v>4</v>
      </c>
      <c r="B66" s="2" t="s">
        <v>125</v>
      </c>
      <c r="C66" s="1">
        <v>13</v>
      </c>
      <c r="D66" s="1" t="s">
        <v>130</v>
      </c>
      <c r="E66" s="1" t="s">
        <v>131</v>
      </c>
      <c r="G66" s="1" t="s">
        <v>155</v>
      </c>
    </row>
    <row r="67" spans="1:7" x14ac:dyDescent="0.25">
      <c r="A67" s="2" t="s">
        <v>4</v>
      </c>
      <c r="B67" s="2" t="s">
        <v>126</v>
      </c>
      <c r="C67" s="1">
        <v>1</v>
      </c>
      <c r="D67" s="1" t="s">
        <v>149</v>
      </c>
      <c r="E67" s="1" t="s">
        <v>149</v>
      </c>
      <c r="G67" s="1" t="s">
        <v>149</v>
      </c>
    </row>
  </sheetData>
  <hyperlinks>
    <hyperlink ref="F20" r:id="rId1" xr:uid="{D8AF7432-245A-4C4C-B94A-F5A501856B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210F-E2B4-49CA-BD3F-62136267DA48}">
  <dimension ref="A1:O40"/>
  <sheetViews>
    <sheetView tabSelected="1" zoomScale="70" zoomScaleNormal="70" workbookViewId="0">
      <selection activeCell="E36" sqref="E36"/>
    </sheetView>
  </sheetViews>
  <sheetFormatPr baseColWidth="10" defaultRowHeight="15" x14ac:dyDescent="0.25"/>
  <cols>
    <col min="1" max="1" width="33.140625" customWidth="1"/>
    <col min="3" max="3" width="11.85546875" bestFit="1" customWidth="1"/>
    <col min="5" max="5" width="27.42578125" customWidth="1"/>
    <col min="6" max="6" width="13.7109375" customWidth="1"/>
    <col min="9" max="9" width="33.28515625" customWidth="1"/>
    <col min="13" max="13" width="26.28515625" customWidth="1"/>
  </cols>
  <sheetData>
    <row r="1" spans="1:15" x14ac:dyDescent="0.25">
      <c r="A1" t="s">
        <v>167</v>
      </c>
      <c r="B1">
        <f>SUM(F1,F12,F16,F20)</f>
        <v>2299</v>
      </c>
      <c r="C1" s="7">
        <f>SUM(C2:C6)</f>
        <v>1</v>
      </c>
      <c r="E1" t="s">
        <v>158</v>
      </c>
      <c r="F1">
        <f>SUMIF(Hoja1!G6:G67,"=Polímeros",Hoja1!C6:C67)</f>
        <v>1290</v>
      </c>
      <c r="G1" s="6">
        <f>F1/$F$1</f>
        <v>1</v>
      </c>
      <c r="I1" t="s">
        <v>175</v>
      </c>
      <c r="J1">
        <f>SUM(J2:J7)</f>
        <v>1945</v>
      </c>
      <c r="K1" s="6">
        <f t="shared" ref="K1:K7" si="0">J1/$J$1</f>
        <v>1</v>
      </c>
      <c r="M1" t="s">
        <v>168</v>
      </c>
      <c r="N1">
        <f>SUM(N2:N4)</f>
        <v>145</v>
      </c>
      <c r="O1" s="7">
        <f>SUM(O2:O4)</f>
        <v>1</v>
      </c>
    </row>
    <row r="2" spans="1:15" x14ac:dyDescent="0.25">
      <c r="A2" s="4" t="s">
        <v>155</v>
      </c>
      <c r="B2">
        <f>F1</f>
        <v>1290</v>
      </c>
      <c r="C2" s="6">
        <f t="shared" ref="C2:C5" si="1">B2/$B$1</f>
        <v>0.56111352762070466</v>
      </c>
      <c r="E2" s="4" t="s">
        <v>138</v>
      </c>
      <c r="F2" s="4">
        <f>SUMIF(Hoja1!$D$6:$D$67,E2,Hoja1!$C$6:$C$67)</f>
        <v>1012</v>
      </c>
      <c r="G2" s="6">
        <f>F2/$F$1</f>
        <v>0.78449612403100777</v>
      </c>
      <c r="I2" s="4" t="s">
        <v>170</v>
      </c>
      <c r="J2">
        <f>N11</f>
        <v>805</v>
      </c>
      <c r="K2" s="6">
        <f t="shared" si="0"/>
        <v>0.41388174807197942</v>
      </c>
      <c r="M2" s="1" t="s">
        <v>127</v>
      </c>
      <c r="N2">
        <f>SUMIF(Hoja1!$D$65:$D$67,Hoja2!M2,Hoja1!$C$65:$C$67)</f>
        <v>131</v>
      </c>
      <c r="O2" s="6">
        <f>N2/$N$1</f>
        <v>0.90344827586206899</v>
      </c>
    </row>
    <row r="3" spans="1:15" x14ac:dyDescent="0.25">
      <c r="A3" s="4" t="s">
        <v>165</v>
      </c>
      <c r="B3">
        <f>F12</f>
        <v>745</v>
      </c>
      <c r="C3" s="6">
        <f t="shared" si="1"/>
        <v>0.32405393649412789</v>
      </c>
      <c r="E3" s="4" t="s">
        <v>141</v>
      </c>
      <c r="F3" s="4">
        <f>SUMIF(Hoja1!$D$6:$D$67,E3,Hoja1!$C$6:$C$67)</f>
        <v>18</v>
      </c>
      <c r="G3" s="6">
        <f>F3/$F$1</f>
        <v>1.3953488372093023E-2</v>
      </c>
      <c r="I3" s="4" t="s">
        <v>172</v>
      </c>
      <c r="J3">
        <f>N18</f>
        <v>388</v>
      </c>
      <c r="K3" s="6">
        <f t="shared" si="0"/>
        <v>0.19948586118251929</v>
      </c>
      <c r="L3" s="4"/>
      <c r="M3" s="1" t="s">
        <v>130</v>
      </c>
      <c r="N3">
        <f>SUMIF(Hoja1!$D$65:$D$67,Hoja2!M3,Hoja1!$C$65:$C$67)</f>
        <v>13</v>
      </c>
      <c r="O3" s="6">
        <f>N3/$N$1</f>
        <v>8.9655172413793102E-2</v>
      </c>
    </row>
    <row r="4" spans="1:15" x14ac:dyDescent="0.25">
      <c r="A4" s="4" t="s">
        <v>157</v>
      </c>
      <c r="B4">
        <f>F16</f>
        <v>225</v>
      </c>
      <c r="C4" s="6">
        <f t="shared" si="1"/>
        <v>9.7868638538494993E-2</v>
      </c>
      <c r="E4" s="4" t="s">
        <v>130</v>
      </c>
      <c r="F4" s="4">
        <f>SUMIF(Hoja1!$D$6:$D$67,E4,Hoja1!$C$6:$C$67)</f>
        <v>27</v>
      </c>
      <c r="G4" s="6">
        <f>F4/$F$1</f>
        <v>2.0930232558139535E-2</v>
      </c>
      <c r="I4" s="4" t="s">
        <v>173</v>
      </c>
      <c r="J4">
        <f>N28</f>
        <v>40</v>
      </c>
      <c r="K4" s="6">
        <f t="shared" si="0"/>
        <v>2.056555269922879E-2</v>
      </c>
      <c r="L4" s="4"/>
      <c r="M4" s="1" t="s">
        <v>149</v>
      </c>
      <c r="N4">
        <f>SUMIF(Hoja1!$D$65:$D$67,Hoja2!M4,Hoja1!$C$65:$C$67)</f>
        <v>1</v>
      </c>
      <c r="O4" s="6">
        <f>N4/$N$1</f>
        <v>6.8965517241379309E-3</v>
      </c>
    </row>
    <row r="5" spans="1:15" x14ac:dyDescent="0.25">
      <c r="A5" s="4" t="s">
        <v>161</v>
      </c>
      <c r="B5">
        <v>0</v>
      </c>
      <c r="C5" s="6">
        <f t="shared" si="1"/>
        <v>0</v>
      </c>
      <c r="E5" s="4" t="s">
        <v>40</v>
      </c>
      <c r="F5" s="4">
        <f>SUMIF(Hoja1!$D$6:$D$67,E5,Hoja1!$C$6:$C$67)</f>
        <v>3</v>
      </c>
      <c r="G5" s="6">
        <f>F5/$F$1</f>
        <v>2.3255813953488372E-3</v>
      </c>
      <c r="I5" s="4" t="s">
        <v>174</v>
      </c>
      <c r="J5">
        <f>N34</f>
        <v>417</v>
      </c>
      <c r="K5" s="6">
        <f t="shared" si="0"/>
        <v>0.21439588688946015</v>
      </c>
      <c r="L5" s="4"/>
    </row>
    <row r="6" spans="1:15" x14ac:dyDescent="0.25">
      <c r="A6" s="4" t="s">
        <v>149</v>
      </c>
      <c r="B6">
        <f>F20</f>
        <v>39</v>
      </c>
      <c r="C6" s="6">
        <f>B6/$B$1</f>
        <v>1.6963897346672467E-2</v>
      </c>
      <c r="E6" s="4" t="s">
        <v>54</v>
      </c>
      <c r="F6" s="4">
        <f>SUMIF(Hoja1!$D$6:$D$67,E6,Hoja1!$C$6:$C$67)</f>
        <v>18</v>
      </c>
      <c r="G6" s="6">
        <f>F6/$F$1</f>
        <v>1.3953488372093023E-2</v>
      </c>
      <c r="I6" s="4" t="s">
        <v>169</v>
      </c>
      <c r="J6">
        <f>N7</f>
        <v>150</v>
      </c>
      <c r="K6" s="6">
        <f t="shared" si="0"/>
        <v>7.7120822622107968E-2</v>
      </c>
    </row>
    <row r="7" spans="1:15" x14ac:dyDescent="0.25">
      <c r="E7" s="4" t="s">
        <v>151</v>
      </c>
      <c r="F7" s="4">
        <f>SUMIF(Hoja1!$D$6:$D$67,E7,Hoja1!$C$6:$C$67)</f>
        <v>58</v>
      </c>
      <c r="G7" s="6">
        <f>F7/$F$1</f>
        <v>4.4961240310077519E-2</v>
      </c>
      <c r="I7" s="4" t="s">
        <v>168</v>
      </c>
      <c r="J7">
        <f>N1</f>
        <v>145</v>
      </c>
      <c r="K7" s="6">
        <f t="shared" si="0"/>
        <v>7.4550128534704371E-2</v>
      </c>
      <c r="M7" s="2" t="s">
        <v>169</v>
      </c>
      <c r="N7">
        <f>SUM(N8:N8)</f>
        <v>150</v>
      </c>
      <c r="O7" s="7">
        <f>SUM(O8:O11)</f>
        <v>2</v>
      </c>
    </row>
    <row r="8" spans="1:15" x14ac:dyDescent="0.25">
      <c r="E8" s="4" t="s">
        <v>152</v>
      </c>
      <c r="F8" s="4">
        <f>SUMIF(Hoja1!$D$6:$D$67,E8,Hoja1!$C$6:$C$67)</f>
        <v>5</v>
      </c>
      <c r="G8" s="6">
        <f>F8/$F$1</f>
        <v>3.875968992248062E-3</v>
      </c>
      <c r="M8" s="1" t="s">
        <v>138</v>
      </c>
      <c r="N8">
        <f>SUMIF(Hoja1!$D$60:$D$63,Hoja2!M8,Hoja1!$C$60:$C$63)</f>
        <v>150</v>
      </c>
      <c r="O8" s="6">
        <f>N8/$N$7</f>
        <v>1</v>
      </c>
    </row>
    <row r="9" spans="1:15" x14ac:dyDescent="0.25">
      <c r="E9" s="4" t="s">
        <v>127</v>
      </c>
      <c r="F9" s="4">
        <f>SUMIF(Hoja1!$D$6:$D$67,E9,Hoja1!$C$6:$C$67)</f>
        <v>131</v>
      </c>
      <c r="G9" s="6">
        <f>F9/$F$1</f>
        <v>0.10155038759689923</v>
      </c>
      <c r="O9" s="6"/>
    </row>
    <row r="10" spans="1:15" x14ac:dyDescent="0.25">
      <c r="E10" s="4" t="s">
        <v>160</v>
      </c>
      <c r="F10" s="4">
        <f>SUMIF(Hoja1!$D$6:$D$67,E10,Hoja1!$C$6:$C$67)</f>
        <v>18</v>
      </c>
      <c r="G10" s="6">
        <f>F10/$F$1</f>
        <v>1.3953488372093023E-2</v>
      </c>
      <c r="O10" s="6"/>
    </row>
    <row r="11" spans="1:15" x14ac:dyDescent="0.25">
      <c r="G11" s="5"/>
      <c r="M11" s="2" t="s">
        <v>170</v>
      </c>
      <c r="N11">
        <f>SUM(N12:N15)</f>
        <v>805</v>
      </c>
      <c r="O11" s="6">
        <f>SUM(O12:O15)</f>
        <v>1</v>
      </c>
    </row>
    <row r="12" spans="1:15" x14ac:dyDescent="0.25">
      <c r="E12" s="2" t="s">
        <v>165</v>
      </c>
      <c r="F12">
        <f>SUMIF(Hoja1!$G$6:$G$67,E12,Hoja1!$C$6:$C$67)</f>
        <v>745</v>
      </c>
      <c r="G12" s="6">
        <f>F12/$F$12</f>
        <v>1</v>
      </c>
      <c r="M12" s="1" t="s">
        <v>138</v>
      </c>
      <c r="N12">
        <f>SUMIF(Hoja1!$D$6:$D$14,Hoja2!M12,Hoja1!$C$6:$C$14)</f>
        <v>635</v>
      </c>
      <c r="O12" s="6">
        <f>N12/$N$11</f>
        <v>0.78881987577639756</v>
      </c>
    </row>
    <row r="13" spans="1:15" x14ac:dyDescent="0.25">
      <c r="M13" s="1" t="s">
        <v>141</v>
      </c>
      <c r="N13">
        <f>SUMIF(Hoja1!$D$6:$D$14,Hoja2!M13,Hoja1!$C$6:$C$14)</f>
        <v>18</v>
      </c>
      <c r="O13" s="6">
        <f>N13/$N$11</f>
        <v>2.236024844720497E-2</v>
      </c>
    </row>
    <row r="14" spans="1:15" x14ac:dyDescent="0.25">
      <c r="M14" s="1" t="s">
        <v>160</v>
      </c>
      <c r="N14">
        <f>SUMIF(Hoja1!$D$6:$D$14,Hoja2!M14,Hoja1!$C$6:$C$14)</f>
        <v>7</v>
      </c>
      <c r="O14" s="6">
        <f>N14/$N$11</f>
        <v>8.6956521739130436E-3</v>
      </c>
    </row>
    <row r="15" spans="1:15" x14ac:dyDescent="0.25">
      <c r="M15" s="1" t="s">
        <v>171</v>
      </c>
      <c r="N15">
        <f>Hoja1!C11</f>
        <v>145</v>
      </c>
      <c r="O15" s="6">
        <f>N15/$N$11</f>
        <v>0.18012422360248448</v>
      </c>
    </row>
    <row r="16" spans="1:15" x14ac:dyDescent="0.25">
      <c r="E16" t="s">
        <v>157</v>
      </c>
      <c r="F16">
        <f>SUMIF(Hoja1!$G$6:$G$67,E16,Hoja1!$C$6:$C$67)</f>
        <v>225</v>
      </c>
      <c r="G16" s="6">
        <f>F16/$F$16</f>
        <v>1</v>
      </c>
    </row>
    <row r="17" spans="5:15" x14ac:dyDescent="0.25">
      <c r="E17" s="1" t="s">
        <v>153</v>
      </c>
      <c r="F17" s="4">
        <f>SUMIF(Hoja1!$D$6:$D$67,E17,Hoja1!$C$6:$C$67)</f>
        <v>63</v>
      </c>
      <c r="G17" s="6">
        <f>F17/$F$16</f>
        <v>0.28000000000000003</v>
      </c>
    </row>
    <row r="18" spans="5:15" x14ac:dyDescent="0.25">
      <c r="E18" s="1" t="s">
        <v>154</v>
      </c>
      <c r="F18" s="4">
        <f>SUMIF(Hoja1!$D$6:$D$67,E18,Hoja1!$C$6:$C$67)</f>
        <v>162</v>
      </c>
      <c r="G18" s="6">
        <f>F18/$F$16</f>
        <v>0.72</v>
      </c>
      <c r="M18" s="2" t="s">
        <v>172</v>
      </c>
      <c r="N18">
        <f>SUM(N19:N25)</f>
        <v>388</v>
      </c>
      <c r="O18" s="6">
        <f>N18/$N$18</f>
        <v>1</v>
      </c>
    </row>
    <row r="19" spans="5:15" x14ac:dyDescent="0.25">
      <c r="M19" s="1" t="s">
        <v>160</v>
      </c>
      <c r="N19">
        <f>SUMIF(Hoja1!$D$15:$D$38,Hoja2!M19,Hoja1!$C$15:$C$38)</f>
        <v>11</v>
      </c>
      <c r="O19" s="6">
        <f>N19/$N$18</f>
        <v>2.8350515463917526E-2</v>
      </c>
    </row>
    <row r="20" spans="5:15" x14ac:dyDescent="0.25">
      <c r="E20" t="s">
        <v>149</v>
      </c>
      <c r="F20">
        <f>SUMIF(Hoja1!$G$6:$G$67,E20,Hoja1!$C$6:$C$67)</f>
        <v>39</v>
      </c>
      <c r="M20" s="1" t="s">
        <v>130</v>
      </c>
      <c r="N20">
        <f>SUMIF(Hoja1!$D$15:$D$38,Hoja2!M20,Hoja1!$C$15:$C$38)</f>
        <v>4</v>
      </c>
      <c r="O20" s="6">
        <f>N20/$N$18</f>
        <v>1.0309278350515464E-2</v>
      </c>
    </row>
    <row r="21" spans="5:15" x14ac:dyDescent="0.25">
      <c r="M21" s="1" t="s">
        <v>40</v>
      </c>
      <c r="N21">
        <f>SUMIF(Hoja1!$D$15:$D$38,Hoja2!M21,Hoja1!$C$15:$C$38)</f>
        <v>3</v>
      </c>
      <c r="O21" s="6">
        <f>N21/$N$18</f>
        <v>7.7319587628865982E-3</v>
      </c>
    </row>
    <row r="22" spans="5:15" x14ac:dyDescent="0.25">
      <c r="M22" s="1" t="s">
        <v>138</v>
      </c>
      <c r="N22">
        <f>SUMIF(Hoja1!$D$15:$D$38,Hoja2!M22,Hoja1!$C$15:$C$38)</f>
        <v>157</v>
      </c>
      <c r="O22" s="6">
        <f>N22/$N$18</f>
        <v>0.40463917525773196</v>
      </c>
    </row>
    <row r="23" spans="5:15" x14ac:dyDescent="0.25">
      <c r="M23" s="1" t="s">
        <v>54</v>
      </c>
      <c r="N23">
        <f>SUMIF(Hoja1!$D$15:$D$38,Hoja2!M23,Hoja1!$C$15:$C$38)</f>
        <v>18</v>
      </c>
      <c r="O23" s="6">
        <f>N23/$N$18</f>
        <v>4.6391752577319589E-2</v>
      </c>
    </row>
    <row r="24" spans="5:15" x14ac:dyDescent="0.25">
      <c r="M24" s="1" t="s">
        <v>171</v>
      </c>
      <c r="N24">
        <f>SUM(Hoja1!C21,Hoja1!C23,Hoja1!C26,Hoja1!C27,Hoja1!C31:C34)</f>
        <v>195</v>
      </c>
      <c r="O24" s="6">
        <f>N24/$N$18</f>
        <v>0.50257731958762886</v>
      </c>
    </row>
    <row r="25" spans="5:15" x14ac:dyDescent="0.25">
      <c r="M25" s="1" t="s">
        <v>149</v>
      </c>
      <c r="N25">
        <f>SUMIF(Hoja1!$D$15:$D$38,Hoja2!M25,Hoja1!$C$15:$C$38)</f>
        <v>0</v>
      </c>
      <c r="O25" s="6">
        <f>N25/$N$18</f>
        <v>0</v>
      </c>
    </row>
    <row r="28" spans="5:15" x14ac:dyDescent="0.25">
      <c r="M28" s="2" t="s">
        <v>173</v>
      </c>
      <c r="N28">
        <f>SUM(N29:N31)</f>
        <v>40</v>
      </c>
      <c r="O28" s="6">
        <f>N28/$N$28</f>
        <v>1</v>
      </c>
    </row>
    <row r="29" spans="5:15" x14ac:dyDescent="0.25">
      <c r="M29" s="1" t="s">
        <v>151</v>
      </c>
      <c r="N29">
        <f>SUMIF(Hoja1!$D$40:$D$42,Hoja2!M29,Hoja1!$C$40:$C$42)</f>
        <v>16</v>
      </c>
      <c r="O29" s="6">
        <f>N29/$N$28</f>
        <v>0.4</v>
      </c>
    </row>
    <row r="30" spans="5:15" x14ac:dyDescent="0.25">
      <c r="M30" s="1" t="s">
        <v>152</v>
      </c>
      <c r="N30">
        <f>SUMIF(Hoja1!$D$40:$D$42,Hoja2!M30,Hoja1!$C$40:$C$42)</f>
        <v>5</v>
      </c>
      <c r="O30" s="6">
        <f>N30/$N$28</f>
        <v>0.125</v>
      </c>
    </row>
    <row r="31" spans="5:15" x14ac:dyDescent="0.25">
      <c r="M31" s="1" t="s">
        <v>149</v>
      </c>
      <c r="N31">
        <f>SUMIF(Hoja1!$D$40:$D$42,Hoja2!M31,Hoja1!$C$40:$C$42)</f>
        <v>19</v>
      </c>
      <c r="O31" s="6">
        <f>N31/$N$28</f>
        <v>0.47499999999999998</v>
      </c>
    </row>
    <row r="34" spans="13:15" x14ac:dyDescent="0.25">
      <c r="M34" s="2" t="s">
        <v>174</v>
      </c>
      <c r="N34">
        <f>SUM(N35:N40)</f>
        <v>417</v>
      </c>
      <c r="O34" s="6">
        <f>N34/$N$34</f>
        <v>1</v>
      </c>
    </row>
    <row r="35" spans="13:15" x14ac:dyDescent="0.25">
      <c r="M35" s="1" t="s">
        <v>138</v>
      </c>
      <c r="N35">
        <f>SUMIF(Hoja1!$D$43:$D$58,Hoja2!M35,Hoja1!$C$43:$C$58)</f>
        <v>70</v>
      </c>
      <c r="O35" s="6">
        <f>N35/$N$34</f>
        <v>0.16786570743405277</v>
      </c>
    </row>
    <row r="36" spans="13:15" x14ac:dyDescent="0.25">
      <c r="M36" s="1" t="s">
        <v>130</v>
      </c>
      <c r="N36">
        <f>SUMIF(Hoja1!$D$43:$D$58,Hoja2!M36,Hoja1!$C$43:$C$58)</f>
        <v>10</v>
      </c>
      <c r="O36" s="6">
        <f>N36/$N$34</f>
        <v>2.3980815347721823E-2</v>
      </c>
    </row>
    <row r="37" spans="13:15" x14ac:dyDescent="0.25">
      <c r="M37" s="1" t="s">
        <v>151</v>
      </c>
      <c r="N37">
        <f>SUMIF(Hoja1!$D$43:$D$58,Hoja2!M37,Hoja1!$C$43:$C$58)</f>
        <v>42</v>
      </c>
      <c r="O37" s="6">
        <f>N37/$N$34</f>
        <v>0.10071942446043165</v>
      </c>
    </row>
    <row r="38" spans="13:15" x14ac:dyDescent="0.25">
      <c r="M38" s="1" t="s">
        <v>138</v>
      </c>
      <c r="N38">
        <f>SUMIF(Hoja1!$D$43:$D$58,Hoja2!M38,Hoja1!$C$43:$C$58)</f>
        <v>70</v>
      </c>
      <c r="O38" s="6">
        <f>N38/$N$34</f>
        <v>0.16786570743405277</v>
      </c>
    </row>
    <row r="39" spans="13:15" x14ac:dyDescent="0.25">
      <c r="M39" s="1" t="s">
        <v>153</v>
      </c>
      <c r="N39">
        <f>SUMIF(Hoja1!$D$43:$D$58,Hoja2!M39,Hoja1!$C$43:$C$58)</f>
        <v>63</v>
      </c>
      <c r="O39" s="6">
        <f>N39/$N$34</f>
        <v>0.15107913669064749</v>
      </c>
    </row>
    <row r="40" spans="13:15" x14ac:dyDescent="0.25">
      <c r="M40" s="1" t="s">
        <v>154</v>
      </c>
      <c r="N40">
        <f>SUMIF(Hoja1!$D$43:$D$58,Hoja2!M40,Hoja1!$C$43:$C$58)</f>
        <v>162</v>
      </c>
      <c r="O40" s="6">
        <f>N40/$N$34</f>
        <v>0.38848920863309355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Wang</dc:creator>
  <cp:lastModifiedBy>Liu Wang</cp:lastModifiedBy>
  <dcterms:created xsi:type="dcterms:W3CDTF">2015-06-05T18:19:34Z</dcterms:created>
  <dcterms:modified xsi:type="dcterms:W3CDTF">2023-06-06T17:09:39Z</dcterms:modified>
</cp:coreProperties>
</file>